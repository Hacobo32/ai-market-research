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VDA vs AMD Comp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quot;x&quot;"/>
  </numFmts>
  <fonts count="10">
    <font>
      <name val="Calibri"/>
      <family val="2"/>
      <color theme="1"/>
      <sz val="11"/>
      <scheme val="minor"/>
    </font>
    <font>
      <name val="Times New Roman"/>
      <b val="1"/>
      <color rgb="00FFFFFF"/>
      <sz val="12"/>
    </font>
    <font>
      <name val="Times New Roman"/>
      <b val="1"/>
      <color rgb="00000000"/>
      <sz val="11"/>
    </font>
    <font>
      <name val="Times New Roman"/>
      <i val="1"/>
      <color rgb="00000000"/>
      <sz val="10"/>
    </font>
    <font>
      <name val="Times New Roman"/>
      <b val="1"/>
      <color rgb="00FFFFFF"/>
      <sz val="11"/>
    </font>
    <font>
      <name val="Times New Roman"/>
      <b val="1"/>
      <color rgb="00000000"/>
      <sz val="10"/>
    </font>
    <font>
      <name val="Times New Roman"/>
      <color rgb="000000FF"/>
      <sz val="11"/>
    </font>
    <font>
      <name val="Times New Roman"/>
      <color rgb="00000000"/>
      <sz val="11"/>
    </font>
    <font>
      <name val="Times New Roman"/>
      <i val="1"/>
      <color rgb="00000000"/>
      <sz val="11"/>
    </font>
    <font>
      <name val="Times New Roman"/>
      <sz val="9"/>
    </font>
  </fonts>
  <fills count="5">
    <fill>
      <patternFill/>
    </fill>
    <fill>
      <patternFill patternType="gray125"/>
    </fill>
    <fill>
      <patternFill patternType="solid">
        <fgColor rgb="001F4E79"/>
      </patternFill>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center" vertical="center"/>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2" fillId="0" borderId="0" applyAlignment="1" pivotButton="0" quotePrefix="0" xfId="0">
      <alignment horizontal="left" vertical="center"/>
    </xf>
    <xf numFmtId="3" fontId="6" fillId="0" borderId="0" applyAlignment="1" pivotButton="0" quotePrefix="0" xfId="0">
      <alignment horizontal="center" vertical="center"/>
    </xf>
    <xf numFmtId="164" fontId="6" fillId="0" borderId="0" applyAlignment="1" pivotButton="0" quotePrefix="0" xfId="0">
      <alignment horizontal="center" vertical="center"/>
    </xf>
    <xf numFmtId="164" fontId="7" fillId="0" borderId="0" applyAlignment="1" pivotButton="0" quotePrefix="0" xfId="0">
      <alignment horizontal="center" vertical="center"/>
    </xf>
    <xf numFmtId="0" fontId="8" fillId="4" borderId="0" applyAlignment="1" pivotButton="0" quotePrefix="0" xfId="0">
      <alignment horizontal="left" vertical="center"/>
    </xf>
    <xf numFmtId="0" fontId="7" fillId="4" borderId="0" applyAlignment="1" pivotButton="0" quotePrefix="0" xfId="0">
      <alignment horizontal="center" vertical="center"/>
    </xf>
    <xf numFmtId="164" fontId="7" fillId="4" borderId="0" applyAlignment="1" pivotButton="0" quotePrefix="0" xfId="0">
      <alignment horizontal="center" vertical="center"/>
    </xf>
    <xf numFmtId="165" fontId="7" fillId="0" borderId="0" applyAlignment="1" pivotButton="0" quotePrefix="0" xfId="0">
      <alignment horizontal="center" vertical="center"/>
    </xf>
    <xf numFmtId="165" fontId="7" fillId="4" borderId="0" applyAlignment="1" pivotButton="0" quotePrefix="0" xfId="0">
      <alignment horizontal="center" vertical="center"/>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financial-analysis:comps-analysis</author>
  </authors>
  <commentList>
    <comment ref="B7" authorId="0" shapeId="0">
      <text>
        <t>LTM revenue $302,970M as of data updated 2026-09-12. Source: S&amp;P Global Market Intelligence via stockanalysis.com (secondary source; MCP financial data feed not connected in this session).</t>
      </text>
    </comment>
    <comment ref="C7" authorId="0" shapeId="0">
      <text>
        <t>Most-recent-quarter (Q2 FY2027, reported 2026-08-26) YoY growth of 106%, per company earnings release. NOTE: this is MRQ growth, not true LTM-over-LTM growth (prior-year LTM revenue was not available from accessible sources) — see Methodology.</t>
      </text>
    </comment>
    <comment ref="D7" authorId="0" shapeId="0">
      <text>
        <t>ESTIMATE: LTM Gross Profit = LTM Revenue x MRQ gross margin (75.0%, Q2 FY27, up from 72.4% YoY per company release). Applying a single quarter's margin to LTM revenue is an approximation, not a company-reported LTM figure.</t>
      </text>
    </comment>
    <comment ref="F7" authorId="0" shapeId="0">
      <text>
        <t>ESTIMATE: Implied LTM EBITDA = Enterprise Value ($5,329,804M, GuruFocus, dated ~2026-05-21) / consensus EV/EBITDA multiple (26.07x, source: stockanalysis.com/GuruFocus). Back-solved, not a directly reported figure — EV snapshot date does not exactly match the 2026-09-12 revenue/market-cap date.</t>
      </text>
    </comment>
    <comment ref="B8" authorId="0" shapeId="0">
      <text>
        <t>LTM revenue $41,310M. Source: GuruFocus (secondary source; MCP financial data feed not connected in this session).</t>
      </text>
    </comment>
    <comment ref="C8" authorId="0" shapeId="0">
      <text>
        <t>MRQ (Q2 2026, reported 2026-08-04) YoY growth of 50%, per AMD press release. NOTE: this is MRQ growth, not true LTM-over-LTM growth — see Methodology.</t>
      </text>
    </comment>
    <comment ref="D8" authorId="0" shapeId="0">
      <text>
        <t>ESTIMATE: LTM Gross Profit = LTM Revenue x MRQ non-GAAP gross margin (56.0%, Q2 2026, per AMD press release). Applying a single quarter's margin to LTM revenue is an approximation.</t>
      </text>
    </comment>
    <comment ref="F8" authorId="0" shapeId="0">
      <text>
        <t>ESTIMATE: Implied LTM EBITDA = Enterprise Value ($770,786M) / consensus EV/EBITDA multiple (79.87x, source: valueinvesting.io, as of 2026-09-07). Back-solved, not a directly reported figure.</t>
      </text>
    </comment>
    <comment ref="B18" authorId="0" shapeId="0">
      <text>
        <t>Market Cap $5.271T as of 2026-09-12. Source: stockanalysis.com / S&amp;P Global Market Intelligence.</t>
      </text>
    </comment>
    <comment ref="C18" authorId="0" shapeId="0">
      <text>
        <t>TTM net income $192,880M. Source: stockanalysis.com / S&amp;P Global Market Intelligence, data updated 2026-09-12.</t>
      </text>
    </comment>
    <comment ref="D18" authorId="0" shapeId="0">
      <text>
        <t>Enterprise Value $5,329,804M. Source: GuruFocus, dated ~2026-05-21 (most recent figure found; NOT same-day as market cap above — introduces minor timing mismatch, see Methodology).</t>
      </text>
    </comment>
    <comment ref="B19" authorId="0" shapeId="0">
      <text>
        <t>Market Cap $759,800M as of August 2026. Source: TradingEconomics/press coverage.</t>
      </text>
    </comment>
    <comment ref="C19" authorId="0" shapeId="0">
      <text>
        <t>ESTIMATE: Implied Net Income = Market Cap / trailing P/E (120.79x, source: stockanalysis.com) = $759,800M / 120.79 ≈ $6,292M. Back-solved, not a directly reported figure.</t>
      </text>
    </comment>
    <comment ref="D19" authorId="0" shapeId="0">
      <text>
        <t>Enterprise Value $770,786M. Source: GuruFocus.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0" customHeight="1">
      <c r="A1" s="1" t="inlineStr">
        <is>
          <t>SEMICONDUCTORS / AI COMPUTE — COMPARABLE COMPANY ANALYSIS</t>
        </is>
      </c>
    </row>
    <row r="2" ht="20" customHeight="1">
      <c r="A2" s="2" t="inlineStr">
        <is>
          <t>NVIDIA Corporation (NVDA)  •  Advanced Micro Devices, Inc. (AMD)</t>
        </is>
      </c>
    </row>
    <row r="3" ht="20" customHeight="1">
      <c r="A3" s="3" t="inlineStr">
        <is>
          <t>As of September 12, 2026 | All figures in USD Millions except per-share amounts and ratios</t>
        </is>
      </c>
    </row>
    <row r="4" ht="20" customHeight="1"/>
    <row r="5" ht="20" customHeight="1">
      <c r="A5" s="4" t="inlineStr">
        <is>
          <t>OPERATING STATISTICS &amp; FINANCIAL METRICS</t>
        </is>
      </c>
    </row>
    <row r="6" ht="20" customHeight="1">
      <c r="A6" s="5" t="inlineStr">
        <is>
          <t>Company</t>
        </is>
      </c>
      <c r="B6" s="5" t="inlineStr">
        <is>
          <t>Revenue (LTM)</t>
        </is>
      </c>
      <c r="C6" s="5" t="inlineStr">
        <is>
          <t>Revenue Growth
(MRQ YoY)</t>
        </is>
      </c>
      <c r="D6" s="5" t="inlineStr">
        <is>
          <t>Gross Profit (LTM, est.)</t>
        </is>
      </c>
      <c r="E6" s="5" t="inlineStr">
        <is>
          <t>Gross Margin</t>
        </is>
      </c>
      <c r="F6" s="5" t="inlineStr">
        <is>
          <t>EBITDA (LTM, implied)</t>
        </is>
      </c>
      <c r="G6" s="5" t="inlineStr">
        <is>
          <t>EBITDA Margin</t>
        </is>
      </c>
    </row>
    <row r="7" ht="20" customHeight="1">
      <c r="A7" s="6" t="inlineStr">
        <is>
          <t>NVIDIA (NVDA)</t>
        </is>
      </c>
      <c r="B7" s="7" t="n">
        <v>302970</v>
      </c>
      <c r="C7" s="8" t="n">
        <v>1.06</v>
      </c>
      <c r="D7" s="7" t="n">
        <v>227228</v>
      </c>
      <c r="E7" s="9">
        <f>D7/B7</f>
        <v/>
      </c>
      <c r="F7" s="7" t="n">
        <v>204483</v>
      </c>
      <c r="G7" s="9">
        <f>F7/B7</f>
        <v/>
      </c>
    </row>
    <row r="8" ht="20" customHeight="1">
      <c r="A8" s="6" t="inlineStr">
        <is>
          <t>AMD</t>
        </is>
      </c>
      <c r="B8" s="7" t="n">
        <v>41310</v>
      </c>
      <c r="C8" s="8" t="n">
        <v>0.5</v>
      </c>
      <c r="D8" s="7" t="n">
        <v>23134</v>
      </c>
      <c r="E8" s="9">
        <f>D8/B8</f>
        <v/>
      </c>
      <c r="F8" s="7" t="n">
        <v>9651</v>
      </c>
      <c r="G8" s="9">
        <f>F8/B8</f>
        <v/>
      </c>
    </row>
    <row r="9" ht="20" customHeight="1"/>
    <row r="10" ht="20" customHeight="1">
      <c r="A10" s="10" t="inlineStr">
        <is>
          <t>Maximum</t>
        </is>
      </c>
      <c r="B10" s="11" t="inlineStr"/>
      <c r="C10" s="12">
        <f>MAX(C7:C8)</f>
        <v/>
      </c>
      <c r="D10" s="11" t="inlineStr"/>
      <c r="E10" s="12">
        <f>MAX(E7:E8)</f>
        <v/>
      </c>
      <c r="F10" s="11" t="inlineStr"/>
      <c r="G10" s="12">
        <f>MAX(G7:G8)</f>
        <v/>
      </c>
      <c r="H10" s="11" t="inlineStr"/>
    </row>
    <row r="11" ht="20" customHeight="1">
      <c r="A11" s="10" t="inlineStr">
        <is>
          <t>75th Percentile</t>
        </is>
      </c>
      <c r="B11" s="11" t="inlineStr"/>
      <c r="C11" s="12">
        <f>QUARTILE(C7:C8,3)</f>
        <v/>
      </c>
      <c r="D11" s="11" t="inlineStr"/>
      <c r="E11" s="12">
        <f>QUARTILE(E7:E8,3)</f>
        <v/>
      </c>
      <c r="F11" s="11" t="inlineStr"/>
      <c r="G11" s="12">
        <f>QUARTILE(G7:G8,3)</f>
        <v/>
      </c>
      <c r="H11" s="11" t="inlineStr"/>
    </row>
    <row r="12" ht="20" customHeight="1">
      <c r="A12" s="10" t="inlineStr">
        <is>
          <t>Median</t>
        </is>
      </c>
      <c r="B12" s="11" t="inlineStr"/>
      <c r="C12" s="12">
        <f>MEDIAN(C7:C8)</f>
        <v/>
      </c>
      <c r="D12" s="11" t="inlineStr"/>
      <c r="E12" s="12">
        <f>MEDIAN(E7:E8)</f>
        <v/>
      </c>
      <c r="F12" s="11" t="inlineStr"/>
      <c r="G12" s="12">
        <f>MEDIAN(G7:G8)</f>
        <v/>
      </c>
      <c r="H12" s="11" t="inlineStr"/>
    </row>
    <row r="13" ht="20" customHeight="1">
      <c r="A13" s="10" t="inlineStr">
        <is>
          <t>25th Percentile</t>
        </is>
      </c>
      <c r="B13" s="11" t="inlineStr"/>
      <c r="C13" s="12">
        <f>QUARTILE(C7:C8,1)</f>
        <v/>
      </c>
      <c r="D13" s="11" t="inlineStr"/>
      <c r="E13" s="12">
        <f>QUARTILE(E7:E8,1)</f>
        <v/>
      </c>
      <c r="F13" s="11" t="inlineStr"/>
      <c r="G13" s="12">
        <f>QUARTILE(G7:G8,1)</f>
        <v/>
      </c>
      <c r="H13" s="11" t="inlineStr"/>
    </row>
    <row r="14" ht="20" customHeight="1">
      <c r="A14" s="10" t="inlineStr">
        <is>
          <t>Minimum</t>
        </is>
      </c>
      <c r="B14" s="11" t="inlineStr"/>
      <c r="C14" s="12">
        <f>MIN(C7:C8)</f>
        <v/>
      </c>
      <c r="D14" s="11" t="inlineStr"/>
      <c r="E14" s="12">
        <f>MIN(E7:E8)</f>
        <v/>
      </c>
      <c r="F14" s="11" t="inlineStr"/>
      <c r="G14" s="12">
        <f>MIN(G7:G8)</f>
        <v/>
      </c>
      <c r="H14" s="11" t="inlineStr"/>
    </row>
    <row r="15" ht="20" customHeight="1"/>
    <row r="16" ht="20" customHeight="1">
      <c r="A16" s="4" t="inlineStr">
        <is>
          <t>VALUATION MULTIPLES</t>
        </is>
      </c>
    </row>
    <row r="17" ht="20" customHeight="1">
      <c r="A17" s="5" t="inlineStr">
        <is>
          <t>Company</t>
        </is>
      </c>
      <c r="B17" s="5" t="inlineStr">
        <is>
          <t>Market Cap</t>
        </is>
      </c>
      <c r="C17" s="5" t="inlineStr">
        <is>
          <t>Net Income (LTM, implied)</t>
        </is>
      </c>
      <c r="D17" s="5" t="inlineStr">
        <is>
          <t>Enterprise Value</t>
        </is>
      </c>
      <c r="E17" s="5" t="inlineStr">
        <is>
          <t>EV / Revenue</t>
        </is>
      </c>
      <c r="F17" s="5" t="inlineStr">
        <is>
          <t>EV / EBITDA</t>
        </is>
      </c>
      <c r="G17" s="5" t="inlineStr">
        <is>
          <t>P / E</t>
        </is>
      </c>
    </row>
    <row r="18" ht="20" customHeight="1">
      <c r="A18" s="6" t="inlineStr">
        <is>
          <t>NVIDIA (NVDA)</t>
        </is>
      </c>
      <c r="B18" s="7" t="n">
        <v>5271000</v>
      </c>
      <c r="C18" s="7" t="n">
        <v>192880</v>
      </c>
      <c r="D18" s="7" t="n">
        <v>5329804</v>
      </c>
      <c r="E18" s="13">
        <f>D18/B7</f>
        <v/>
      </c>
      <c r="F18" s="13">
        <f>D18/F7</f>
        <v/>
      </c>
      <c r="G18" s="13">
        <f>B18/C18</f>
        <v/>
      </c>
    </row>
    <row r="19" ht="20" customHeight="1">
      <c r="A19" s="6" t="inlineStr">
        <is>
          <t>AMD</t>
        </is>
      </c>
      <c r="B19" s="7" t="n">
        <v>759800</v>
      </c>
      <c r="C19" s="7" t="n">
        <v>6292</v>
      </c>
      <c r="D19" s="7" t="n">
        <v>770786</v>
      </c>
      <c r="E19" s="13">
        <f>D19/B8</f>
        <v/>
      </c>
      <c r="F19" s="13">
        <f>D19/F8</f>
        <v/>
      </c>
      <c r="G19" s="13">
        <f>B19/C19</f>
        <v/>
      </c>
    </row>
    <row r="20" ht="20" customHeight="1"/>
    <row r="21" ht="20" customHeight="1">
      <c r="A21" s="10" t="inlineStr">
        <is>
          <t>Maximum</t>
        </is>
      </c>
      <c r="B21" s="11" t="inlineStr"/>
      <c r="C21" s="11" t="inlineStr"/>
      <c r="D21" s="11" t="inlineStr"/>
      <c r="E21" s="14">
        <f>MAX(E18:E19)</f>
        <v/>
      </c>
      <c r="F21" s="14">
        <f>MAX(F18:F19)</f>
        <v/>
      </c>
      <c r="G21" s="14">
        <f>MAX(G18:G19)</f>
        <v/>
      </c>
      <c r="H21" s="11" t="inlineStr"/>
    </row>
    <row r="22" ht="20" customHeight="1">
      <c r="A22" s="10" t="inlineStr">
        <is>
          <t>75th Percentile</t>
        </is>
      </c>
      <c r="B22" s="11" t="inlineStr"/>
      <c r="C22" s="11" t="inlineStr"/>
      <c r="D22" s="11" t="inlineStr"/>
      <c r="E22" s="14">
        <f>QUARTILE(E18:E19,3)</f>
        <v/>
      </c>
      <c r="F22" s="14">
        <f>QUARTILE(F18:F19,3)</f>
        <v/>
      </c>
      <c r="G22" s="14">
        <f>QUARTILE(G18:G19,3)</f>
        <v/>
      </c>
      <c r="H22" s="11" t="inlineStr"/>
    </row>
    <row r="23" ht="20" customHeight="1">
      <c r="A23" s="10" t="inlineStr">
        <is>
          <t>Median</t>
        </is>
      </c>
      <c r="B23" s="11" t="inlineStr"/>
      <c r="C23" s="11" t="inlineStr"/>
      <c r="D23" s="11" t="inlineStr"/>
      <c r="E23" s="14">
        <f>MEDIAN(E18:E19)</f>
        <v/>
      </c>
      <c r="F23" s="14">
        <f>MEDIAN(F18:F19)</f>
        <v/>
      </c>
      <c r="G23" s="14">
        <f>MEDIAN(G18:G19)</f>
        <v/>
      </c>
      <c r="H23" s="11" t="inlineStr"/>
    </row>
    <row r="24" ht="20" customHeight="1">
      <c r="A24" s="10" t="inlineStr">
        <is>
          <t>25th Percentile</t>
        </is>
      </c>
      <c r="B24" s="11" t="inlineStr"/>
      <c r="C24" s="11" t="inlineStr"/>
      <c r="D24" s="11" t="inlineStr"/>
      <c r="E24" s="14">
        <f>QUARTILE(E18:E19,1)</f>
        <v/>
      </c>
      <c r="F24" s="14">
        <f>QUARTILE(F18:F19,1)</f>
        <v/>
      </c>
      <c r="G24" s="14">
        <f>QUARTILE(G18:G19,1)</f>
        <v/>
      </c>
      <c r="H24" s="11" t="inlineStr"/>
    </row>
    <row r="25" ht="20" customHeight="1">
      <c r="A25" s="10" t="inlineStr">
        <is>
          <t>Minimum</t>
        </is>
      </c>
      <c r="B25" s="11" t="inlineStr"/>
      <c r="C25" s="11" t="inlineStr"/>
      <c r="D25" s="11" t="inlineStr"/>
      <c r="E25" s="14">
        <f>MIN(E18:E19)</f>
        <v/>
      </c>
      <c r="F25" s="14">
        <f>MIN(F18:F19)</f>
        <v/>
      </c>
      <c r="G25" s="14">
        <f>MIN(G18:G19)</f>
        <v/>
      </c>
      <c r="H25" s="11" t="inlineStr"/>
    </row>
    <row r="26" ht="20" customHeight="1"/>
    <row r="27" ht="20" customHeight="1">
      <c r="A27" s="4" t="inlineStr">
        <is>
          <t>NOTES &amp; METHODOLOGY</t>
        </is>
      </c>
    </row>
    <row r="28" ht="45" customHeight="1">
      <c r="A28" s="15" t="inlineStr">
        <is>
          <t>• DATA SOURCE &amp; QUALITY (READ FIRST): This workbook was built WITHOUT an institutional data feed. The comps-analysis skill instructs prioritizing FactSet / S&amp;P Kensho (CapIQ) / Daloopa MCP connectors, then Bloomberg or SEC EDGAR filings, and explicitly warns against web search as a primary source. In this session, no MCP financial data connector was available, and direct access to Bloomberg-style data sites (Yahoo Finance, stockanalysis.com, macrotrends.net) and even SEC EDGAR (sec.gov, data.sec.gov) was blocked by the sandbox's network egress proxy. All figures below were therefore sourced from web search result snippets (secondary source) and should be treated as directionally useful, NOT audit-grade or citation-verified. Before using this in any decision context, re-pull the underlying figures from a terminal (Bloomberg/FactSet/CapIQ) or primary filings (10-K/10-Q on sec.gov).</t>
        </is>
      </c>
    </row>
    <row r="29" ht="45" customHeight="1">
      <c r="A29" s="15" t="inlineStr">
        <is>
          <t>• PEER SET LIMITATION: This is a 2-company comparison (NVDA, AMD) per explicit user request. The skill recommends 4-6 comparable companies for a statistically meaningful comp set; with n=2, the Median/75th/25th percentile rows are not independently informative (Median = simple average of the two; 75th/25th are interpolations between the same two values) and are included only for structural consistency, not statistical insight.</t>
        </is>
      </c>
    </row>
    <row r="30" ht="45" customHeight="1">
      <c r="A30" s="15" t="inlineStr">
        <is>
          <t>• PERIOD MISMATCH: Revenue and EBITDA are presented on an LTM (last-twelve-months) basis, but Revenue Growth is the most-recently-reported single quarter's YoY growth (NVDA: Q2 FY2027 reported 2026-08-26; AMD: Q2 2026 reported 2026-08-04), because prior-year LTM revenue was not available from accessible sources. Mixing LTM levels with quarterly growth rates is a known comps red flag — flagged here rather than silently blended.</t>
        </is>
      </c>
    </row>
    <row r="31" ht="45" customHeight="1">
      <c r="A31" s="15" t="inlineStr">
        <is>
          <t>• EBITDA DEFINITION: LTM EBITDA for both companies is IMPLIED (back-solved) as Enterprise Value / consensus EV-EBITDA multiple, rather than built up from Operating Income + D&amp;A off reported financials. This is a materially weaker construction than a bottom-up EBITDA build and is used only because primary financial-statement line items (D&amp;A, operating income) were not retrievable from accessible sources in this session.</t>
        </is>
      </c>
    </row>
    <row r="32" ht="45" customHeight="1">
      <c r="A32" s="15" t="inlineStr">
        <is>
          <t>• GROSS PROFIT: LTM Gross Profit is estimated as LTM Revenue x most-recent-quarter gross margin, not a company-reported LTM figure. NVDA's gross margin has moved meaningfully quarter to quarter (72.4% -&gt; 75.0% YoY per company guidance), so this approximation may overstate or understate true LTM gross profit.</t>
        </is>
      </c>
    </row>
    <row r="33" ht="45" customHeight="1">
      <c r="A33" s="15" t="inlineStr">
        <is>
          <t>• ENTERPRISE VALUE TIMING: NVDA's Enterprise Value figure is dated ~2026-05-21 (most recent available from accessible sources), while Market Cap and Revenue are as of 2026-09-12. This ~4-month gap is a real inconsistency in a fast-moving name; EV/Revenue, EV/EBITDA and the implied EBITDA figure for NVDA inherit this timing risk.</t>
        </is>
      </c>
    </row>
    <row r="34" ht="45" customHeight="1">
      <c r="A34" s="15" t="inlineStr">
        <is>
          <t>• NET INCOME / P&amp;E: NVDA net income is a reported TTM figure. AMD net income is IMPLIED (Market Cap / reported trailing P/E), not a reported figure at this precision.</t>
        </is>
      </c>
    </row>
    <row r="35" ht="45" customHeight="1">
      <c r="A35" s="15" t="inlineStr">
        <is>
          <t>• VALUATION METHODOLOGY: Enterprise Value figures are taken as reported by the secondary source (methodology for each provider's EV = Market Cap + Debt - Cash may vary slightly); not independently reconstructed from a balance sheet in this workbook.</t>
        </is>
      </c>
    </row>
    <row r="36" ht="45" customHeight="1">
      <c r="A36" s="15" t="inlineStr">
        <is>
          <t>• SANITY CHECK: EV/EBITDA multiples across the two names differ substantially (NVDA ~26x vs. AMD ~80x), consistent with AMD's implied EBITDA margin (~23%) being well below NVDA's (~68%) — directionally plausible given NVDA's AI-datacenter mix and margin structure vs. AMD's more diversified, lower-margin business, but given the EBITDA figures here are back-solved rather than bottom-up, this should be re-verified against a primary source before use.</t>
        </is>
      </c>
    </row>
  </sheetData>
  <mergeCells count="15">
    <mergeCell ref="A1:H1"/>
    <mergeCell ref="A3:H3"/>
    <mergeCell ref="A30:H30"/>
    <mergeCell ref="A29:H29"/>
    <mergeCell ref="A35:H35"/>
    <mergeCell ref="A16:H16"/>
    <mergeCell ref="A2:H2"/>
    <mergeCell ref="A28:H28"/>
    <mergeCell ref="A33:H33"/>
    <mergeCell ref="A36:H36"/>
    <mergeCell ref="A5:H5"/>
    <mergeCell ref="A32:H32"/>
    <mergeCell ref="A27:H27"/>
    <mergeCell ref="A31:H31"/>
    <mergeCell ref="A34:H3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2026-09-13T12:56:57Z</dcterms:created>
  <dcterms:modified xsi:type="dcterms:W3CDTF">2026-09-13T12:56:57Z</dcterms:modified>
</cp:coreProperties>
</file>